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stefany_santana2_portalsesisp_org_br/Documents/Lista de Exercícios - Relacionamentos entre Classes/"/>
    </mc:Choice>
  </mc:AlternateContent>
  <xr:revisionPtr revIDLastSave="158" documentId="8_{F33522A9-06EC-4D93-8582-B7EE428D0202}" xr6:coauthVersionLast="47" xr6:coauthVersionMax="47" xr10:uidLastSave="{AC9FA794-FBEA-471B-94D3-9A55FD65C823}"/>
  <bookViews>
    <workbookView xWindow="-120" yWindow="-120" windowWidth="29040" windowHeight="15720" activeTab="4" xr2:uid="{B098818D-40C3-4991-A238-4C03254588E2}"/>
  </bookViews>
  <sheets>
    <sheet name="Biblioteca" sheetId="1" r:id="rId1"/>
    <sheet name="Livro" sheetId="2" r:id="rId2"/>
    <sheet name="Usuario" sheetId="3" r:id="rId3"/>
    <sheet name="Funcionario" sheetId="4" r:id="rId4"/>
    <sheet name="Emprestim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4" l="1"/>
  <c r="C2" i="4"/>
  <c r="C4" i="2"/>
  <c r="C3" i="2"/>
  <c r="C2" i="2"/>
</calcChain>
</file>

<file path=xl/sharedStrings.xml><?xml version="1.0" encoding="utf-8"?>
<sst xmlns="http://schemas.openxmlformats.org/spreadsheetml/2006/main" count="37" uniqueCount="33">
  <si>
    <t>id_biblioteca (PK)</t>
  </si>
  <si>
    <t>nome</t>
  </si>
  <si>
    <t>Biblioteca Central</t>
  </si>
  <si>
    <t>Biblioteca Municipal</t>
  </si>
  <si>
    <t>id_livro (PK)</t>
  </si>
  <si>
    <t>titulo</t>
  </si>
  <si>
    <t>isbn</t>
  </si>
  <si>
    <t>ano_publicacao</t>
  </si>
  <si>
    <t>id_biblioteca (FK)</t>
  </si>
  <si>
    <t>Dom Casmurro</t>
  </si>
  <si>
    <t>O Cortiço</t>
  </si>
  <si>
    <t>Memórias Póstumas de Brás Cubas</t>
  </si>
  <si>
    <t>id_usuario</t>
  </si>
  <si>
    <t>cpf</t>
  </si>
  <si>
    <t>matricula_usuario</t>
  </si>
  <si>
    <t>Maria Souza</t>
  </si>
  <si>
    <t>João Silva</t>
  </si>
  <si>
    <t>U001</t>
  </si>
  <si>
    <t>U002</t>
  </si>
  <si>
    <t>id_funcionario</t>
  </si>
  <si>
    <t>matricula_funcionario</t>
  </si>
  <si>
    <t>cargo</t>
  </si>
  <si>
    <t>id_biblioteca</t>
  </si>
  <si>
    <t xml:space="preserve"> Carlos Lima</t>
  </si>
  <si>
    <t xml:space="preserve"> Ana Costa</t>
  </si>
  <si>
    <t>F001</t>
  </si>
  <si>
    <t>F002</t>
  </si>
  <si>
    <t>Bibliotecário</t>
  </si>
  <si>
    <t>Atendente</t>
  </si>
  <si>
    <t>id_emprestimo</t>
  </si>
  <si>
    <t>data_emprestimo</t>
  </si>
  <si>
    <t>data_devolucao</t>
  </si>
  <si>
    <t>id_livro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</si>
</sst>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28C8-2929-4FA9-B95C-508FB55B816E}">
  <dimension ref="A1:B3"/>
  <sheetViews>
    <sheetView zoomScale="160" zoomScaleNormal="160" workbookViewId="0">
      <selection activeCell="B4" sqref="B4"/>
    </sheetView>
  </sheetViews>
  <sheetFormatPr defaultRowHeight="15" x14ac:dyDescent="0.25"/>
  <cols>
    <col min="1" max="1" width="18.7109375" style="1" customWidth="1"/>
    <col min="2" max="2" width="18.1406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123C-BAF6-48D3-BE72-9268A3F3F84D}">
  <dimension ref="A1:E4"/>
  <sheetViews>
    <sheetView zoomScale="160" zoomScaleNormal="160" workbookViewId="0">
      <selection activeCell="A6" sqref="A6"/>
    </sheetView>
  </sheetViews>
  <sheetFormatPr defaultRowHeight="15" x14ac:dyDescent="0.25"/>
  <cols>
    <col min="1" max="1" width="12.140625" style="1" customWidth="1"/>
    <col min="2" max="2" width="31" style="1" customWidth="1"/>
    <col min="3" max="3" width="17.140625" style="1" customWidth="1"/>
    <col min="4" max="4" width="15.5703125" style="1" customWidth="1"/>
    <col min="5" max="5" width="16.7109375" style="1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ht="16.5" x14ac:dyDescent="0.3">
      <c r="A2" s="1">
        <v>1</v>
      </c>
      <c r="B2" s="1" t="s">
        <v>9</v>
      </c>
      <c r="C2" s="2" t="str">
        <f>"978000000001"</f>
        <v>978000000001</v>
      </c>
      <c r="D2" s="1">
        <v>1899</v>
      </c>
      <c r="E2" s="1">
        <v>1</v>
      </c>
    </row>
    <row r="3" spans="1:5" x14ac:dyDescent="0.25">
      <c r="A3" s="1">
        <v>2</v>
      </c>
      <c r="B3" s="1" t="s">
        <v>10</v>
      </c>
      <c r="C3" s="1" t="str">
        <f>"978000000002"</f>
        <v>978000000002</v>
      </c>
      <c r="D3" s="1">
        <v>1890</v>
      </c>
      <c r="E3" s="1">
        <v>1</v>
      </c>
    </row>
    <row r="4" spans="1:5" x14ac:dyDescent="0.25">
      <c r="A4" s="1">
        <v>3</v>
      </c>
      <c r="B4" s="1" t="s">
        <v>11</v>
      </c>
      <c r="C4" s="1" t="str">
        <f>"978000000003"</f>
        <v>978000000003</v>
      </c>
      <c r="D4" s="1">
        <v>1881</v>
      </c>
      <c r="E4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4D26-74F4-421E-BA3C-6D53A138D1F1}">
  <dimension ref="A1:D3"/>
  <sheetViews>
    <sheetView zoomScale="166" zoomScaleNormal="166" workbookViewId="0">
      <selection activeCell="D5" sqref="D5"/>
    </sheetView>
  </sheetViews>
  <sheetFormatPr defaultRowHeight="15" x14ac:dyDescent="0.25"/>
  <cols>
    <col min="1" max="1" width="10.28515625" style="1" customWidth="1"/>
    <col min="2" max="2" width="14" style="1" customWidth="1"/>
    <col min="3" max="3" width="15.7109375" style="1" customWidth="1"/>
    <col min="4" max="4" width="17.5703125" style="1" customWidth="1"/>
  </cols>
  <sheetData>
    <row r="1" spans="1:4" x14ac:dyDescent="0.25">
      <c r="A1" s="1" t="s">
        <v>12</v>
      </c>
      <c r="B1" s="1" t="s">
        <v>1</v>
      </c>
      <c r="C1" s="1" t="s">
        <v>13</v>
      </c>
      <c r="D1" s="1" t="s">
        <v>14</v>
      </c>
    </row>
    <row r="2" spans="1:4" ht="16.5" x14ac:dyDescent="0.3">
      <c r="A2" s="1">
        <v>1</v>
      </c>
      <c r="B2" s="1" t="s">
        <v>15</v>
      </c>
      <c r="C2" s="2">
        <v>11111111111</v>
      </c>
      <c r="D2" s="1" t="s">
        <v>17</v>
      </c>
    </row>
    <row r="3" spans="1:4" ht="16.5" x14ac:dyDescent="0.3">
      <c r="A3" s="1">
        <v>2</v>
      </c>
      <c r="B3" s="1" t="s">
        <v>16</v>
      </c>
      <c r="C3" s="2">
        <v>22222222222</v>
      </c>
      <c r="D3" s="1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3524-F0E0-4AEF-B6AB-EF95DDE0681E}">
  <dimension ref="A1:F3"/>
  <sheetViews>
    <sheetView zoomScale="178" zoomScaleNormal="178" workbookViewId="0">
      <selection activeCell="G7" sqref="G7"/>
    </sheetView>
  </sheetViews>
  <sheetFormatPr defaultRowHeight="15" x14ac:dyDescent="0.25"/>
  <cols>
    <col min="1" max="1" width="16.140625" style="1" customWidth="1"/>
    <col min="2" max="2" width="12.7109375" style="1" customWidth="1"/>
    <col min="3" max="3" width="15" style="1" customWidth="1"/>
    <col min="4" max="4" width="19" style="1" customWidth="1"/>
    <col min="5" max="5" width="13.5703125" style="1" customWidth="1"/>
    <col min="6" max="6" width="12.85546875" style="1" customWidth="1"/>
  </cols>
  <sheetData>
    <row r="1" spans="1:6" x14ac:dyDescent="0.25">
      <c r="A1" s="1" t="s">
        <v>19</v>
      </c>
      <c r="B1" s="1" t="s">
        <v>1</v>
      </c>
      <c r="C1" s="1" t="s">
        <v>13</v>
      </c>
      <c r="D1" s="1" t="s">
        <v>20</v>
      </c>
      <c r="E1" s="1" t="s">
        <v>21</v>
      </c>
      <c r="F1" s="1" t="s">
        <v>22</v>
      </c>
    </row>
    <row r="2" spans="1:6" ht="16.5" x14ac:dyDescent="0.3">
      <c r="A2" s="1">
        <v>1</v>
      </c>
      <c r="B2" s="1" t="s">
        <v>23</v>
      </c>
      <c r="C2" s="2" t="str">
        <f>"33333333333"</f>
        <v>33333333333</v>
      </c>
      <c r="D2" s="1" t="s">
        <v>25</v>
      </c>
      <c r="E2" s="1" t="s">
        <v>27</v>
      </c>
      <c r="F2" s="1">
        <v>1</v>
      </c>
    </row>
    <row r="3" spans="1:6" x14ac:dyDescent="0.25">
      <c r="A3" s="1">
        <v>2</v>
      </c>
      <c r="B3" s="1" t="s">
        <v>24</v>
      </c>
      <c r="C3" s="1" t="str">
        <f>"444444444444"</f>
        <v>444444444444</v>
      </c>
      <c r="D3" s="1" t="s">
        <v>26</v>
      </c>
      <c r="E3" s="1" t="s">
        <v>28</v>
      </c>
      <c r="F3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714A-A474-40E8-8C4C-61493FE12853}">
  <dimension ref="A1:E4"/>
  <sheetViews>
    <sheetView tabSelected="1" zoomScale="142" zoomScaleNormal="142" workbookViewId="0">
      <selection activeCell="E12" sqref="E12"/>
    </sheetView>
  </sheetViews>
  <sheetFormatPr defaultRowHeight="15" x14ac:dyDescent="0.25"/>
  <cols>
    <col min="1" max="1" width="13.5703125" style="1" customWidth="1"/>
    <col min="2" max="3" width="17" style="1" customWidth="1"/>
    <col min="4" max="4" width="14.42578125" style="1" customWidth="1"/>
    <col min="5" max="5" width="11.28515625" style="1" customWidth="1"/>
  </cols>
  <sheetData>
    <row r="1" spans="1:5" x14ac:dyDescent="0.25">
      <c r="A1" s="1" t="s">
        <v>29</v>
      </c>
      <c r="B1" s="1" t="s">
        <v>30</v>
      </c>
      <c r="C1" s="1" t="s">
        <v>31</v>
      </c>
      <c r="D1" s="1" t="s">
        <v>12</v>
      </c>
      <c r="E1" s="1" t="s">
        <v>32</v>
      </c>
    </row>
    <row r="2" spans="1:5" x14ac:dyDescent="0.25">
      <c r="A2" s="1">
        <v>1</v>
      </c>
      <c r="B2" s="3">
        <v>46266</v>
      </c>
      <c r="C2" s="3">
        <v>46280</v>
      </c>
      <c r="D2" s="1">
        <v>2</v>
      </c>
      <c r="E2" s="1">
        <v>1</v>
      </c>
    </row>
    <row r="3" spans="1:5" x14ac:dyDescent="0.25">
      <c r="A3" s="1">
        <v>2</v>
      </c>
      <c r="B3" s="3">
        <v>46267</v>
      </c>
      <c r="C3" s="3">
        <v>46281</v>
      </c>
      <c r="D3" s="1">
        <v>2</v>
      </c>
      <c r="E3" s="1">
        <v>2</v>
      </c>
    </row>
    <row r="4" spans="1:5" x14ac:dyDescent="0.25">
      <c r="A4" s="1">
        <v>3</v>
      </c>
      <c r="B4" s="3">
        <v>46268</v>
      </c>
      <c r="C4" s="3">
        <v>46282</v>
      </c>
      <c r="D4" s="1">
        <v>1</v>
      </c>
      <c r="E4" s="1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Biblioteca</vt:lpstr>
      <vt:lpstr>Livro</vt:lpstr>
      <vt:lpstr>Usuario</vt:lpstr>
      <vt:lpstr>Funcionario</vt:lpstr>
      <vt:lpstr>Emprestimo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STÉFANY SILVA SANTANA</dc:creator>
  <cp:lastModifiedBy>CFP 509  Escola SENAI - Campinas</cp:lastModifiedBy>
  <dcterms:created xsi:type="dcterms:W3CDTF">2026-09-15T11:25:47Z</dcterms:created>
  <dcterms:modified xsi:type="dcterms:W3CDTF">2026-09-15T12:00:38Z</dcterms:modified>
</cp:coreProperties>
</file>