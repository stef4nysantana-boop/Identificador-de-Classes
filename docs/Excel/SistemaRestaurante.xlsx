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tefany_santana2_portalsesisp_org_br/Documents/Lista de Exercícios - Relacionamentos entre Classes/"/>
    </mc:Choice>
  </mc:AlternateContent>
  <xr:revisionPtr revIDLastSave="207" documentId="8_{756EC295-B375-40B6-A545-E97A1E0C90D4}" xr6:coauthVersionLast="47" xr6:coauthVersionMax="47" xr10:uidLastSave="{AF319D63-270A-4E19-8D6C-E5B4B48A157D}"/>
  <bookViews>
    <workbookView xWindow="-120" yWindow="-120" windowWidth="29040" windowHeight="15720" activeTab="1" xr2:uid="{2952CD4F-BCCD-40BA-95AC-5BAF0E6B0265}"/>
  </bookViews>
  <sheets>
    <sheet name="Restaurante" sheetId="1" r:id="rId1"/>
    <sheet name="Mesa" sheetId="2" r:id="rId2"/>
    <sheet name="Funcionario" sheetId="3" r:id="rId3"/>
    <sheet name="Garçom" sheetId="4" r:id="rId4"/>
    <sheet name="Cozinheiro" sheetId="5" r:id="rId5"/>
    <sheet name="Cliente" sheetId="6" r:id="rId6"/>
    <sheet name="Pedido" sheetId="7" r:id="rId7"/>
    <sheet name="ItemPedid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8" l="1"/>
  <c r="C4" i="8"/>
  <c r="C3" i="8"/>
  <c r="C2" i="8"/>
  <c r="D4" i="7"/>
  <c r="D3" i="7"/>
  <c r="D2" i="7"/>
  <c r="C3" i="6"/>
  <c r="C2" i="6"/>
  <c r="C5" i="3"/>
  <c r="C4" i="3"/>
  <c r="C3" i="3"/>
  <c r="C2" i="3"/>
</calcChain>
</file>

<file path=xl/sharedStrings.xml><?xml version="1.0" encoding="utf-8"?>
<sst xmlns="http://schemas.openxmlformats.org/spreadsheetml/2006/main" count="47" uniqueCount="37">
  <si>
    <t>id_restaurante</t>
  </si>
  <si>
    <t>nome</t>
  </si>
  <si>
    <t>Restaurante Sabor Bom</t>
  </si>
  <si>
    <t xml:space="preserve">Restaurante Tempero Caseiro </t>
  </si>
  <si>
    <t>id_mesa</t>
  </si>
  <si>
    <t>numero</t>
  </si>
  <si>
    <t>capacidade</t>
  </si>
  <si>
    <t>localizacao</t>
  </si>
  <si>
    <t>Salão principal</t>
  </si>
  <si>
    <t>Área externa</t>
  </si>
  <si>
    <t>id_funcionario</t>
  </si>
  <si>
    <t>cpf</t>
  </si>
  <si>
    <t>matricula</t>
  </si>
  <si>
    <t>Pedro Alvez</t>
  </si>
  <si>
    <t>Carla Mendes</t>
  </si>
  <si>
    <t>José Santos</t>
  </si>
  <si>
    <t>Fernanda Lima</t>
  </si>
  <si>
    <t>F001</t>
  </si>
  <si>
    <t>F002</t>
  </si>
  <si>
    <t>F003</t>
  </si>
  <si>
    <t>F004</t>
  </si>
  <si>
    <t>id_garcom</t>
  </si>
  <si>
    <t>responsabilidade</t>
  </si>
  <si>
    <t>Atendimento das mesas</t>
  </si>
  <si>
    <t>Atendimento dos clientes</t>
  </si>
  <si>
    <t>id_cozinheiro</t>
  </si>
  <si>
    <t>Preparação dos pratos</t>
  </si>
  <si>
    <t>Preparação das sobremesas</t>
  </si>
  <si>
    <t>id_cliente</t>
  </si>
  <si>
    <t>Clara Martins</t>
  </si>
  <si>
    <t>Felipe Silva</t>
  </si>
  <si>
    <t>id_pedido</t>
  </si>
  <si>
    <t>valor_total</t>
  </si>
  <si>
    <t>data</t>
  </si>
  <si>
    <t>id_item</t>
  </si>
  <si>
    <t>quantidade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</si>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</sst>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CB28-5D1E-4433-8B8C-61D0E72AE696}">
  <dimension ref="A1:B3"/>
  <sheetViews>
    <sheetView zoomScale="160" zoomScaleNormal="160" workbookViewId="0">
      <selection activeCell="B8" sqref="B8"/>
    </sheetView>
  </sheetViews>
  <sheetFormatPr defaultRowHeight="15" x14ac:dyDescent="0.25"/>
  <cols>
    <col min="1" max="1" width="14.5703125" style="1" customWidth="1"/>
    <col min="2" max="2" width="27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9DC4-A2FE-4E9B-A158-B097C492CDA6}">
  <dimension ref="A1:E4"/>
  <sheetViews>
    <sheetView tabSelected="1" zoomScale="154" zoomScaleNormal="154" workbookViewId="0">
      <selection activeCell="G7" sqref="G7"/>
    </sheetView>
  </sheetViews>
  <sheetFormatPr defaultRowHeight="15" x14ac:dyDescent="0.25"/>
  <cols>
    <col min="1" max="1" width="10.28515625" style="1" customWidth="1"/>
    <col min="2" max="2" width="11.140625" style="1" customWidth="1"/>
    <col min="3" max="3" width="12.7109375" style="1" customWidth="1"/>
    <col min="4" max="4" width="14.5703125" style="1" customWidth="1"/>
    <col min="5" max="5" width="14.28515625" style="1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</row>
    <row r="2" spans="1:5" x14ac:dyDescent="0.25">
      <c r="A2" s="1">
        <v>1</v>
      </c>
      <c r="B2" s="1">
        <v>1</v>
      </c>
      <c r="C2" s="1">
        <v>4</v>
      </c>
      <c r="D2" s="1" t="s">
        <v>8</v>
      </c>
      <c r="E2" s="1">
        <v>1</v>
      </c>
    </row>
    <row r="3" spans="1:5" x14ac:dyDescent="0.25">
      <c r="A3" s="1">
        <v>2</v>
      </c>
      <c r="B3" s="1">
        <v>2</v>
      </c>
      <c r="C3" s="1">
        <v>2</v>
      </c>
      <c r="D3" s="1" t="s">
        <v>8</v>
      </c>
      <c r="E3" s="1">
        <v>1</v>
      </c>
    </row>
    <row r="4" spans="1:5" x14ac:dyDescent="0.25">
      <c r="A4" s="1">
        <v>3</v>
      </c>
      <c r="B4" s="1">
        <v>3</v>
      </c>
      <c r="C4" s="1">
        <v>6</v>
      </c>
      <c r="D4" s="1" t="s">
        <v>9</v>
      </c>
      <c r="E4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2A4A-1239-4E7E-A190-76D97CD4646F}">
  <dimension ref="A1:D5"/>
  <sheetViews>
    <sheetView zoomScale="184" zoomScaleNormal="184" workbookViewId="0">
      <selection activeCell="C7" sqref="C7"/>
    </sheetView>
  </sheetViews>
  <sheetFormatPr defaultRowHeight="15" x14ac:dyDescent="0.25"/>
  <cols>
    <col min="1" max="1" width="14.85546875" style="1" customWidth="1"/>
    <col min="2" max="2" width="13.140625" style="1" customWidth="1"/>
    <col min="3" max="3" width="13.85546875" style="1" customWidth="1"/>
    <col min="4" max="4" width="10.5703125" style="1" customWidth="1"/>
  </cols>
  <sheetData>
    <row r="1" spans="1:4" x14ac:dyDescent="0.25">
      <c r="A1" s="1" t="s">
        <v>10</v>
      </c>
      <c r="B1" s="1" t="s">
        <v>1</v>
      </c>
      <c r="C1" s="1" t="s">
        <v>11</v>
      </c>
      <c r="D1" s="1" t="s">
        <v>12</v>
      </c>
    </row>
    <row r="2" spans="1:4" x14ac:dyDescent="0.25">
      <c r="A2" s="1">
        <v>1</v>
      </c>
      <c r="B2" s="1" t="s">
        <v>13</v>
      </c>
      <c r="C2" s="1" t="str">
        <f>"11111111111"</f>
        <v>11111111111</v>
      </c>
      <c r="D2" s="1" t="s">
        <v>17</v>
      </c>
    </row>
    <row r="3" spans="1:4" x14ac:dyDescent="0.25">
      <c r="A3" s="1">
        <v>2</v>
      </c>
      <c r="B3" s="1" t="s">
        <v>14</v>
      </c>
      <c r="C3" s="1" t="str">
        <f>"22222222222"</f>
        <v>22222222222</v>
      </c>
      <c r="D3" s="1" t="s">
        <v>18</v>
      </c>
    </row>
    <row r="4" spans="1:4" x14ac:dyDescent="0.25">
      <c r="A4" s="1">
        <v>3</v>
      </c>
      <c r="B4" s="1" t="s">
        <v>15</v>
      </c>
      <c r="C4" s="1" t="str">
        <f>"33333333333"</f>
        <v>33333333333</v>
      </c>
      <c r="D4" s="1" t="s">
        <v>19</v>
      </c>
    </row>
    <row r="5" spans="1:4" x14ac:dyDescent="0.25">
      <c r="A5" s="1">
        <v>4</v>
      </c>
      <c r="B5" s="1" t="s">
        <v>16</v>
      </c>
      <c r="C5" s="1" t="str">
        <f>"44444444444"</f>
        <v>44444444444</v>
      </c>
      <c r="D5" s="1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DBFF-52C2-416C-8AA5-4AD845609036}">
  <dimension ref="A1:B3"/>
  <sheetViews>
    <sheetView zoomScale="154" zoomScaleNormal="154" workbookViewId="0">
      <selection activeCell="A5" sqref="A5"/>
    </sheetView>
  </sheetViews>
  <sheetFormatPr defaultRowHeight="15" x14ac:dyDescent="0.25"/>
  <cols>
    <col min="1" max="1" width="11.5703125" style="1" customWidth="1"/>
    <col min="2" max="2" width="23.5703125" style="1" customWidth="1"/>
  </cols>
  <sheetData>
    <row r="1" spans="1:2" x14ac:dyDescent="0.25">
      <c r="A1" s="1" t="s">
        <v>21</v>
      </c>
      <c r="B1" s="1" t="s">
        <v>22</v>
      </c>
    </row>
    <row r="2" spans="1:2" x14ac:dyDescent="0.25">
      <c r="A2" s="1">
        <v>1</v>
      </c>
      <c r="B2" s="1" t="s">
        <v>23</v>
      </c>
    </row>
    <row r="3" spans="1:2" x14ac:dyDescent="0.25">
      <c r="A3" s="1">
        <v>2</v>
      </c>
      <c r="B3" s="1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18CF-0F79-4CF1-B2EB-91BBF34B57AC}">
  <dimension ref="A1:B3"/>
  <sheetViews>
    <sheetView zoomScale="172" zoomScaleNormal="172" workbookViewId="0">
      <selection activeCell="B4" sqref="B4"/>
    </sheetView>
  </sheetViews>
  <sheetFormatPr defaultRowHeight="15" x14ac:dyDescent="0.25"/>
  <cols>
    <col min="1" max="1" width="13.7109375" style="1" customWidth="1"/>
    <col min="2" max="2" width="24.7109375" style="1" customWidth="1"/>
  </cols>
  <sheetData>
    <row r="1" spans="1:2" x14ac:dyDescent="0.25">
      <c r="A1" s="1" t="s">
        <v>25</v>
      </c>
      <c r="B1" s="1" t="s">
        <v>22</v>
      </c>
    </row>
    <row r="2" spans="1:2" x14ac:dyDescent="0.25">
      <c r="A2" s="1">
        <v>3</v>
      </c>
      <c r="B2" s="1" t="s">
        <v>26</v>
      </c>
    </row>
    <row r="3" spans="1:2" x14ac:dyDescent="0.25">
      <c r="A3" s="1">
        <v>4</v>
      </c>
      <c r="B3" s="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769E-D6BC-485B-AD2D-5B6F972BDABD}">
  <dimension ref="A1:C3"/>
  <sheetViews>
    <sheetView zoomScale="184" zoomScaleNormal="184" workbookViewId="0">
      <selection activeCell="D9" sqref="D9"/>
    </sheetView>
  </sheetViews>
  <sheetFormatPr defaultRowHeight="15" x14ac:dyDescent="0.25"/>
  <cols>
    <col min="1" max="1" width="12.42578125" style="1" customWidth="1"/>
    <col min="2" max="2" width="12.7109375" style="1" customWidth="1"/>
    <col min="3" max="3" width="16.42578125" style="1" customWidth="1"/>
  </cols>
  <sheetData>
    <row r="1" spans="1:3" x14ac:dyDescent="0.25">
      <c r="A1" s="1" t="s">
        <v>28</v>
      </c>
      <c r="B1" s="1" t="s">
        <v>1</v>
      </c>
      <c r="C1" s="1" t="s">
        <v>11</v>
      </c>
    </row>
    <row r="2" spans="1:3" x14ac:dyDescent="0.25">
      <c r="A2" s="1">
        <v>1</v>
      </c>
      <c r="B2" s="1" t="s">
        <v>29</v>
      </c>
      <c r="C2" s="1" t="str">
        <f>"55555555555"</f>
        <v>55555555555</v>
      </c>
    </row>
    <row r="3" spans="1:3" x14ac:dyDescent="0.25">
      <c r="A3" s="1">
        <v>2</v>
      </c>
      <c r="B3" s="1" t="s">
        <v>30</v>
      </c>
      <c r="C3" s="1" t="str">
        <f>"66666666666"</f>
        <v>66666666666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F5AC-C43C-4BDF-B070-C6F8EE6B67AF}">
  <dimension ref="A1:F4"/>
  <sheetViews>
    <sheetView zoomScale="166" zoomScaleNormal="166" workbookViewId="0">
      <selection activeCell="D7" sqref="D7"/>
    </sheetView>
  </sheetViews>
  <sheetFormatPr defaultRowHeight="15" x14ac:dyDescent="0.25"/>
  <cols>
    <col min="1" max="1" width="11.5703125" style="1" customWidth="1"/>
    <col min="2" max="2" width="11" style="1" customWidth="1"/>
    <col min="3" max="3" width="13.28515625" style="1" customWidth="1"/>
    <col min="4" max="4" width="13.5703125" style="1" customWidth="1"/>
    <col min="5" max="5" width="10.7109375" style="1" customWidth="1"/>
    <col min="6" max="6" width="12" style="1" customWidth="1"/>
  </cols>
  <sheetData>
    <row r="1" spans="1:6" x14ac:dyDescent="0.25">
      <c r="A1" s="1" t="s">
        <v>31</v>
      </c>
      <c r="B1" s="1" t="s">
        <v>5</v>
      </c>
      <c r="C1" s="1" t="s">
        <v>33</v>
      </c>
      <c r="D1" s="1" t="s">
        <v>32</v>
      </c>
      <c r="E1" s="1" t="s">
        <v>28</v>
      </c>
      <c r="F1" s="1" t="s">
        <v>21</v>
      </c>
    </row>
    <row r="2" spans="1:6" x14ac:dyDescent="0.25">
      <c r="A2" s="1">
        <v>1</v>
      </c>
      <c r="B2" s="1">
        <v>1001</v>
      </c>
      <c r="C2" s="2">
        <v>46275</v>
      </c>
      <c r="D2" s="1" t="str">
        <f>"85,00"</f>
        <v>85,00</v>
      </c>
      <c r="E2" s="1">
        <v>1</v>
      </c>
      <c r="F2" s="1">
        <v>1</v>
      </c>
    </row>
    <row r="3" spans="1:6" x14ac:dyDescent="0.25">
      <c r="A3" s="1">
        <v>2</v>
      </c>
      <c r="B3" s="1">
        <v>2002</v>
      </c>
      <c r="C3" s="2">
        <v>46276</v>
      </c>
      <c r="D3" s="1" t="str">
        <f>"120,00"</f>
        <v>120,00</v>
      </c>
      <c r="E3" s="1">
        <v>2</v>
      </c>
      <c r="F3" s="1">
        <v>2</v>
      </c>
    </row>
    <row r="4" spans="1:6" x14ac:dyDescent="0.25">
      <c r="A4" s="1">
        <v>3</v>
      </c>
      <c r="B4" s="1">
        <v>3003</v>
      </c>
      <c r="C4" s="2">
        <v>46277</v>
      </c>
      <c r="D4" s="1" t="str">
        <f>"65,00"</f>
        <v>65,00</v>
      </c>
      <c r="E4" s="1">
        <v>1</v>
      </c>
      <c r="F4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239A-DF1F-42C7-95F8-75B59C9766BF}">
  <dimension ref="A1:D5"/>
  <sheetViews>
    <sheetView zoomScale="154" zoomScaleNormal="154" workbookViewId="0">
      <selection activeCell="B9" sqref="B9"/>
    </sheetView>
  </sheetViews>
  <sheetFormatPr defaultRowHeight="15" x14ac:dyDescent="0.25"/>
  <cols>
    <col min="1" max="1" width="10.85546875" style="1" customWidth="1"/>
    <col min="2" max="2" width="12.5703125" style="1" customWidth="1"/>
    <col min="3" max="4" width="10.85546875" style="1" customWidth="1"/>
  </cols>
  <sheetData>
    <row r="1" spans="1:4" x14ac:dyDescent="0.25">
      <c r="A1" s="1" t="s">
        <v>34</v>
      </c>
      <c r="B1" s="1" t="s">
        <v>35</v>
      </c>
      <c r="C1" s="1" t="s">
        <v>36</v>
      </c>
      <c r="D1" s="1" t="s">
        <v>31</v>
      </c>
    </row>
    <row r="2" spans="1:4" x14ac:dyDescent="0.25">
      <c r="A2" s="1">
        <v>1</v>
      </c>
      <c r="B2" s="1">
        <v>2</v>
      </c>
      <c r="C2" s="1" t="str">
        <f>"25,00"</f>
        <v>25,00</v>
      </c>
      <c r="D2" s="1">
        <v>1</v>
      </c>
    </row>
    <row r="3" spans="1:4" x14ac:dyDescent="0.25">
      <c r="A3" s="1">
        <v>2</v>
      </c>
      <c r="B3" s="1">
        <v>1</v>
      </c>
      <c r="C3" s="1" t="str">
        <f>"35,00"</f>
        <v>35,00</v>
      </c>
      <c r="D3" s="1">
        <v>1</v>
      </c>
    </row>
    <row r="4" spans="1:4" x14ac:dyDescent="0.25">
      <c r="A4" s="1">
        <v>3</v>
      </c>
      <c r="B4" s="1">
        <v>2</v>
      </c>
      <c r="C4" s="1" t="str">
        <f>"40,00"</f>
        <v>40,00</v>
      </c>
      <c r="D4" s="1">
        <v>2</v>
      </c>
    </row>
    <row r="5" spans="1:4" x14ac:dyDescent="0.25">
      <c r="A5" s="1">
        <v>4</v>
      </c>
      <c r="B5" s="1">
        <v>1</v>
      </c>
      <c r="C5" s="1" t="str">
        <f>"65,00"</f>
        <v>65,00</v>
      </c>
      <c r="D5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Restaurante</vt:lpstr>
      <vt:lpstr>Mesa</vt:lpstr>
      <vt:lpstr>Funcionario</vt:lpstr>
      <vt:lpstr>Garçom</vt:lpstr>
      <vt:lpstr>Cozinheiro</vt:lpstr>
      <vt:lpstr>Cliente</vt:lpstr>
      <vt:lpstr>Pedido</vt:lpstr>
      <vt:lpstr>ItemPedido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STÉFANY SILVA SANTANA</dc:creator>
  <cp:lastModifiedBy>CFP 509  Escola SENAI - Campinas</cp:lastModifiedBy>
  <dcterms:created xsi:type="dcterms:W3CDTF">2026-09-15T12:00:51Z</dcterms:created>
  <dcterms:modified xsi:type="dcterms:W3CDTF">2026-09-15T12:41:40Z</dcterms:modified>
</cp:coreProperties>
</file>