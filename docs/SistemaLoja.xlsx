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tefany_santana2_portalsesisp_org_br/Documents/Lista de Exercícios - Relacionamentos entre Classes/"/>
    </mc:Choice>
  </mc:AlternateContent>
  <xr:revisionPtr revIDLastSave="240" documentId="8_{DD447132-22F9-47CE-9F44-876B6667554B}" xr6:coauthVersionLast="47" xr6:coauthVersionMax="47" xr10:uidLastSave="{FB8A2C63-792A-4365-8DDA-BCE21720B413}"/>
  <bookViews>
    <workbookView xWindow="-120" yWindow="-120" windowWidth="29040" windowHeight="15720" activeTab="8" xr2:uid="{8D50A3AB-2D80-4556-B8E9-5A46654E22A4}"/>
  </bookViews>
  <sheets>
    <sheet name="Loja" sheetId="1" r:id="rId1"/>
    <sheet name="Produto" sheetId="2" r:id="rId2"/>
    <sheet name="Funcionario" sheetId="3" r:id="rId3"/>
    <sheet name="Vendedor" sheetId="4" r:id="rId4"/>
    <sheet name="Gerente" sheetId="5" r:id="rId5"/>
    <sheet name="Cliente" sheetId="6" r:id="rId6"/>
    <sheet name="Pedido" sheetId="7" r:id="rId7"/>
    <sheet name="ItemPedido" sheetId="8" r:id="rId8"/>
    <sheet name="Pagament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9" l="1"/>
  <c r="B2" i="9"/>
  <c r="C3" i="6"/>
  <c r="C2" i="6"/>
  <c r="B3" i="4"/>
  <c r="B2" i="4"/>
  <c r="E5" i="3"/>
  <c r="E4" i="3"/>
  <c r="E3" i="3"/>
  <c r="E2" i="3"/>
  <c r="C5" i="3"/>
  <c r="C4" i="3"/>
  <c r="C3" i="3"/>
  <c r="C2" i="3"/>
  <c r="E4" i="2"/>
  <c r="E3" i="2"/>
  <c r="E2" i="2"/>
</calcChain>
</file>

<file path=xl/sharedStrings.xml><?xml version="1.0" encoding="utf-8"?>
<sst xmlns="http://schemas.openxmlformats.org/spreadsheetml/2006/main" count="68" uniqueCount="55">
  <si>
    <t>id_loja</t>
  </si>
  <si>
    <t>nome</t>
  </si>
  <si>
    <t>Loja Central</t>
  </si>
  <si>
    <t>Loja Shopping</t>
  </si>
  <si>
    <t>id_produto</t>
  </si>
  <si>
    <t>codigo</t>
  </si>
  <si>
    <t>descricao</t>
  </si>
  <si>
    <t>preco</t>
  </si>
  <si>
    <t>P001</t>
  </si>
  <si>
    <t>P002</t>
  </si>
  <si>
    <t>P003</t>
  </si>
  <si>
    <t>NoteBook</t>
  </si>
  <si>
    <t>Mouse</t>
  </si>
  <si>
    <t>Teclado</t>
  </si>
  <si>
    <t>Notebook 15 polegadas</t>
  </si>
  <si>
    <t>Mouse sem fio</t>
  </si>
  <si>
    <t>Teclado mecânico</t>
  </si>
  <si>
    <t>id_funcionario</t>
  </si>
  <si>
    <t>cpf</t>
  </si>
  <si>
    <t>matricula</t>
  </si>
  <si>
    <t>salario</t>
  </si>
  <si>
    <t>João Alvez</t>
  </si>
  <si>
    <t>Maria Lima</t>
  </si>
  <si>
    <t>Pedro Souza</t>
  </si>
  <si>
    <t>Ana Costa</t>
  </si>
  <si>
    <t>F001</t>
  </si>
  <si>
    <t>F002</t>
  </si>
  <si>
    <t>F003</t>
  </si>
  <si>
    <t>F004</t>
  </si>
  <si>
    <t>id_vendedor</t>
  </si>
  <si>
    <t>metas_vendas</t>
  </si>
  <si>
    <t>id_gerente</t>
  </si>
  <si>
    <t>setor</t>
  </si>
  <si>
    <t>Eletrônicos</t>
  </si>
  <si>
    <t xml:space="preserve">Acessórios </t>
  </si>
  <si>
    <t>id_cliente</t>
  </si>
  <si>
    <t>telefone</t>
  </si>
  <si>
    <t>endereco</t>
  </si>
  <si>
    <t>João</t>
  </si>
  <si>
    <t>Maria</t>
  </si>
  <si>
    <t>Rua A, 100</t>
  </si>
  <si>
    <t>Rua B, 200</t>
  </si>
  <si>
    <t>id_pedido</t>
  </si>
  <si>
    <t>numero</t>
  </si>
  <si>
    <t>data</t>
  </si>
  <si>
    <t>status</t>
  </si>
  <si>
    <t>Pago</t>
  </si>
  <si>
    <t>Pendente</t>
  </si>
  <si>
    <t>id_item</t>
  </si>
  <si>
    <t>quantidade</t>
  </si>
  <si>
    <t>id_pagamento</t>
  </si>
  <si>
    <t>valor</t>
  </si>
  <si>
    <t>forma_pagamento</t>
  </si>
  <si>
    <t>Cartão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</si>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</sst>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2444-8E9E-4240-87DB-E73151A75C4D}">
  <dimension ref="A1:B3"/>
  <sheetViews>
    <sheetView zoomScale="166" zoomScaleNormal="166" workbookViewId="0">
      <selection activeCell="F8" sqref="F8"/>
    </sheetView>
  </sheetViews>
  <sheetFormatPr defaultRowHeight="15" x14ac:dyDescent="0.25"/>
  <cols>
    <col min="1" max="1" width="9.140625" style="1"/>
    <col min="2" max="2" width="14.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1C92-747F-4868-9859-9E5CDDF1BA91}">
  <dimension ref="A1:F4"/>
  <sheetViews>
    <sheetView zoomScale="178" zoomScaleNormal="178" workbookViewId="0">
      <selection activeCell="D8" sqref="D8"/>
    </sheetView>
  </sheetViews>
  <sheetFormatPr defaultRowHeight="15" x14ac:dyDescent="0.25"/>
  <cols>
    <col min="1" max="1" width="11.5703125" style="1" customWidth="1"/>
    <col min="2" max="2" width="9.140625" style="1"/>
    <col min="3" max="3" width="10.7109375" style="1" customWidth="1"/>
    <col min="4" max="4" width="21.42578125" style="1" customWidth="1"/>
    <col min="5" max="5" width="10.85546875" style="1" customWidth="1"/>
    <col min="6" max="6" width="11.28515625" style="1" customWidth="1"/>
  </cols>
  <sheetData>
    <row r="1" spans="1:6" x14ac:dyDescent="0.25">
      <c r="A1" s="1" t="s">
        <v>4</v>
      </c>
      <c r="B1" s="1" t="s">
        <v>5</v>
      </c>
      <c r="C1" s="1" t="s">
        <v>1</v>
      </c>
      <c r="D1" s="1" t="s">
        <v>6</v>
      </c>
      <c r="E1" s="1" t="s">
        <v>7</v>
      </c>
      <c r="F1" s="1" t="s">
        <v>0</v>
      </c>
    </row>
    <row r="2" spans="1:6" x14ac:dyDescent="0.25">
      <c r="A2" s="1">
        <v>1</v>
      </c>
      <c r="B2" s="1" t="s">
        <v>8</v>
      </c>
      <c r="C2" s="1" t="s">
        <v>11</v>
      </c>
      <c r="D2" s="1" t="s">
        <v>14</v>
      </c>
      <c r="E2" s="1" t="str">
        <f>"3500,00"</f>
        <v>3500,00</v>
      </c>
      <c r="F2" s="1">
        <v>1</v>
      </c>
    </row>
    <row r="3" spans="1:6" x14ac:dyDescent="0.25">
      <c r="A3" s="1">
        <v>2</v>
      </c>
      <c r="B3" s="1" t="s">
        <v>9</v>
      </c>
      <c r="C3" s="1" t="s">
        <v>12</v>
      </c>
      <c r="D3" s="1" t="s">
        <v>15</v>
      </c>
      <c r="E3" s="1" t="str">
        <f>"80,00"</f>
        <v>80,00</v>
      </c>
      <c r="F3" s="1">
        <v>1</v>
      </c>
    </row>
    <row r="4" spans="1:6" x14ac:dyDescent="0.25">
      <c r="A4" s="1">
        <v>3</v>
      </c>
      <c r="B4" s="1" t="s">
        <v>10</v>
      </c>
      <c r="C4" s="1" t="s">
        <v>13</v>
      </c>
      <c r="D4" s="1" t="s">
        <v>16</v>
      </c>
      <c r="E4" s="1" t="str">
        <f>"250,00"</f>
        <v>250,00</v>
      </c>
      <c r="F4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7336-E165-4C05-873C-B1E175E0750A}">
  <dimension ref="A1:F5"/>
  <sheetViews>
    <sheetView zoomScale="166" zoomScaleNormal="166" workbookViewId="0">
      <selection activeCell="C21" sqref="C21"/>
    </sheetView>
  </sheetViews>
  <sheetFormatPr defaultRowHeight="15" x14ac:dyDescent="0.25"/>
  <cols>
    <col min="1" max="1" width="12.28515625" style="1" customWidth="1"/>
    <col min="2" max="2" width="13.42578125" style="1" customWidth="1"/>
    <col min="3" max="3" width="12.28515625" style="1" customWidth="1"/>
    <col min="4" max="4" width="10.28515625" style="1" customWidth="1"/>
    <col min="5" max="6" width="9.140625" style="1"/>
  </cols>
  <sheetData>
    <row r="1" spans="1:6" x14ac:dyDescent="0.25">
      <c r="A1" s="1" t="s">
        <v>17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0</v>
      </c>
    </row>
    <row r="2" spans="1:6" x14ac:dyDescent="0.25">
      <c r="A2" s="1">
        <v>1</v>
      </c>
      <c r="B2" s="1" t="s">
        <v>21</v>
      </c>
      <c r="C2" s="1" t="str">
        <f>"11111111111"</f>
        <v>11111111111</v>
      </c>
      <c r="D2" s="1" t="s">
        <v>25</v>
      </c>
      <c r="E2" s="1" t="str">
        <f>"2500,00"</f>
        <v>2500,00</v>
      </c>
      <c r="F2" s="1">
        <v>1</v>
      </c>
    </row>
    <row r="3" spans="1:6" x14ac:dyDescent="0.25">
      <c r="A3" s="1">
        <v>2</v>
      </c>
      <c r="B3" s="1" t="s">
        <v>22</v>
      </c>
      <c r="C3" s="1" t="str">
        <f>"22222222222"</f>
        <v>22222222222</v>
      </c>
      <c r="D3" s="1" t="s">
        <v>26</v>
      </c>
      <c r="E3" s="1" t="str">
        <f>"3000,00"</f>
        <v>3000,00</v>
      </c>
      <c r="F3" s="1">
        <v>1</v>
      </c>
    </row>
    <row r="4" spans="1:6" x14ac:dyDescent="0.25">
      <c r="A4" s="1">
        <v>3</v>
      </c>
      <c r="B4" s="1" t="s">
        <v>23</v>
      </c>
      <c r="C4" s="1" t="str">
        <f>"33333333333"</f>
        <v>33333333333</v>
      </c>
      <c r="D4" s="1" t="s">
        <v>27</v>
      </c>
      <c r="E4" s="1" t="str">
        <f>"2800,00"</f>
        <v>2800,00</v>
      </c>
      <c r="F4" s="1">
        <v>2</v>
      </c>
    </row>
    <row r="5" spans="1:6" x14ac:dyDescent="0.25">
      <c r="A5" s="1">
        <v>4</v>
      </c>
      <c r="B5" s="1" t="s">
        <v>24</v>
      </c>
      <c r="C5" s="1" t="str">
        <f>"44444444444"</f>
        <v>44444444444</v>
      </c>
      <c r="D5" s="1" t="s">
        <v>28</v>
      </c>
      <c r="E5" s="1" t="str">
        <f>"4000,00"</f>
        <v>4000,00</v>
      </c>
      <c r="F5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B0C1-11BF-400E-8805-AB90BFA31F03}">
  <dimension ref="A1:B3"/>
  <sheetViews>
    <sheetView zoomScale="166" zoomScaleNormal="166" workbookViewId="0">
      <selection activeCell="B9" sqref="B9"/>
    </sheetView>
  </sheetViews>
  <sheetFormatPr defaultRowHeight="15" x14ac:dyDescent="0.25"/>
  <cols>
    <col min="1" max="1" width="13" style="1" customWidth="1"/>
    <col min="2" max="2" width="14" style="1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s="1">
        <v>1</v>
      </c>
      <c r="B2" s="1" t="str">
        <f>"30000,00"</f>
        <v>30000,00</v>
      </c>
    </row>
    <row r="3" spans="1:2" x14ac:dyDescent="0.25">
      <c r="A3" s="1">
        <v>3</v>
      </c>
      <c r="B3" s="1" t="str">
        <f>"40000,00"</f>
        <v>40000,00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1BA1-61CC-4D13-8EDA-9A275163097A}">
  <dimension ref="A1:B3"/>
  <sheetViews>
    <sheetView zoomScale="190" zoomScaleNormal="190" workbookViewId="0">
      <selection activeCell="D18" sqref="D18"/>
    </sheetView>
  </sheetViews>
  <sheetFormatPr defaultRowHeight="15" x14ac:dyDescent="0.25"/>
  <cols>
    <col min="1" max="1" width="10.42578125" style="1" customWidth="1"/>
    <col min="2" max="2" width="12.140625" style="1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s="1">
        <v>2</v>
      </c>
      <c r="B2" s="1" t="s">
        <v>33</v>
      </c>
    </row>
    <row r="3" spans="1:2" x14ac:dyDescent="0.25">
      <c r="A3" s="1">
        <v>4</v>
      </c>
      <c r="B3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F247-F339-4CD4-A505-65AB2187E98C}">
  <dimension ref="A1:E3"/>
  <sheetViews>
    <sheetView zoomScale="196" zoomScaleNormal="196" workbookViewId="0">
      <selection activeCell="D8" sqref="D8"/>
    </sheetView>
  </sheetViews>
  <sheetFormatPr defaultRowHeight="15" x14ac:dyDescent="0.25"/>
  <cols>
    <col min="1" max="2" width="9.140625" style="1"/>
    <col min="3" max="3" width="14.140625" style="1" customWidth="1"/>
    <col min="4" max="4" width="13.85546875" style="1" customWidth="1"/>
    <col min="5" max="5" width="10.5703125" style="1" customWidth="1"/>
  </cols>
  <sheetData>
    <row r="1" spans="1:5" x14ac:dyDescent="0.25">
      <c r="A1" s="1" t="s">
        <v>35</v>
      </c>
      <c r="B1" s="1" t="s">
        <v>1</v>
      </c>
      <c r="C1" s="1" t="s">
        <v>18</v>
      </c>
      <c r="D1" s="1" t="s">
        <v>36</v>
      </c>
      <c r="E1" s="1" t="s">
        <v>37</v>
      </c>
    </row>
    <row r="2" spans="1:5" x14ac:dyDescent="0.25">
      <c r="A2" s="1">
        <v>1</v>
      </c>
      <c r="B2" s="1" t="s">
        <v>38</v>
      </c>
      <c r="C2" s="1" t="str">
        <f>"55555555555"</f>
        <v>55555555555</v>
      </c>
      <c r="D2" s="1">
        <v>19999999901</v>
      </c>
      <c r="E2" s="1" t="s">
        <v>40</v>
      </c>
    </row>
    <row r="3" spans="1:5" x14ac:dyDescent="0.25">
      <c r="A3" s="1">
        <v>2</v>
      </c>
      <c r="B3" s="1" t="s">
        <v>39</v>
      </c>
      <c r="C3" s="1" t="str">
        <f>"66666666666"</f>
        <v>66666666666</v>
      </c>
      <c r="D3" s="1">
        <v>19999999902</v>
      </c>
      <c r="E3" s="1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00F8-B95B-4CAF-AFBB-68FD70462066}">
  <dimension ref="A1:F4"/>
  <sheetViews>
    <sheetView zoomScale="190" zoomScaleNormal="190" workbookViewId="0">
      <selection activeCell="C11" sqref="C11"/>
    </sheetView>
  </sheetViews>
  <sheetFormatPr defaultRowHeight="15" x14ac:dyDescent="0.25"/>
  <cols>
    <col min="1" max="1" width="10.28515625" style="1" customWidth="1"/>
    <col min="2" max="2" width="9.140625" style="1"/>
    <col min="3" max="3" width="12" style="1" customWidth="1"/>
    <col min="4" max="4" width="10.5703125" style="1" customWidth="1"/>
    <col min="5" max="5" width="9.140625" style="1"/>
    <col min="6" max="6" width="12.28515625" style="1" customWidth="1"/>
  </cols>
  <sheetData>
    <row r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35</v>
      </c>
      <c r="F1" s="1" t="s">
        <v>29</v>
      </c>
    </row>
    <row r="2" spans="1:6" x14ac:dyDescent="0.25">
      <c r="A2" s="1">
        <v>1</v>
      </c>
      <c r="B2" s="1">
        <v>1001</v>
      </c>
      <c r="C2" s="2">
        <v>46275</v>
      </c>
      <c r="D2" s="1" t="s">
        <v>46</v>
      </c>
      <c r="E2" s="1">
        <v>1</v>
      </c>
      <c r="F2" s="1">
        <v>1</v>
      </c>
    </row>
    <row r="3" spans="1:6" x14ac:dyDescent="0.25">
      <c r="A3" s="1">
        <v>2</v>
      </c>
      <c r="B3" s="1">
        <v>1002</v>
      </c>
      <c r="C3" s="2">
        <v>46276</v>
      </c>
      <c r="D3" s="1" t="s">
        <v>47</v>
      </c>
      <c r="E3" s="1">
        <v>2</v>
      </c>
      <c r="F3" s="1">
        <v>1</v>
      </c>
    </row>
    <row r="4" spans="1:6" x14ac:dyDescent="0.25">
      <c r="A4" s="1">
        <v>3</v>
      </c>
      <c r="B4" s="1">
        <v>1003</v>
      </c>
      <c r="C4" s="2">
        <v>46277</v>
      </c>
      <c r="D4" s="1" t="s">
        <v>46</v>
      </c>
      <c r="E4" s="1">
        <v>1</v>
      </c>
      <c r="F4" s="1">
        <v>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6D67-9615-4BC1-9BDD-A5BB4FD00360}">
  <dimension ref="A1:D5"/>
  <sheetViews>
    <sheetView zoomScale="172" zoomScaleNormal="172" workbookViewId="0">
      <selection activeCell="G9" sqref="G9"/>
    </sheetView>
  </sheetViews>
  <sheetFormatPr defaultRowHeight="15" x14ac:dyDescent="0.25"/>
  <cols>
    <col min="1" max="1" width="9.140625" style="1"/>
    <col min="2" max="2" width="11.5703125" style="1" customWidth="1"/>
    <col min="3" max="3" width="9.140625" style="1"/>
    <col min="4" max="4" width="12" style="1" customWidth="1"/>
  </cols>
  <sheetData>
    <row r="1" spans="1:4" x14ac:dyDescent="0.25">
      <c r="A1" s="1" t="s">
        <v>48</v>
      </c>
      <c r="B1" s="1" t="s">
        <v>49</v>
      </c>
      <c r="C1" s="1" t="s">
        <v>42</v>
      </c>
      <c r="D1" s="1" t="s">
        <v>4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  <row r="3" spans="1:4" x14ac:dyDescent="0.25">
      <c r="A3" s="1">
        <v>2</v>
      </c>
      <c r="B3" s="1">
        <v>2</v>
      </c>
      <c r="C3" s="1">
        <v>1</v>
      </c>
      <c r="D3" s="1">
        <v>2</v>
      </c>
    </row>
    <row r="4" spans="1:4" x14ac:dyDescent="0.25">
      <c r="A4" s="1">
        <v>3</v>
      </c>
      <c r="B4" s="1">
        <v>1</v>
      </c>
      <c r="C4" s="1">
        <v>2</v>
      </c>
      <c r="D4" s="1">
        <v>3</v>
      </c>
    </row>
    <row r="5" spans="1:4" x14ac:dyDescent="0.25">
      <c r="A5" s="1">
        <v>4</v>
      </c>
      <c r="B5" s="1">
        <v>2</v>
      </c>
      <c r="C5" s="1">
        <v>3</v>
      </c>
      <c r="D5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E4FB-F224-4086-85DB-1AD90743448B}">
  <dimension ref="A1:E3"/>
  <sheetViews>
    <sheetView tabSelected="1" zoomScale="178" zoomScaleNormal="178" workbookViewId="0">
      <selection activeCell="F16" sqref="F16"/>
    </sheetView>
  </sheetViews>
  <sheetFormatPr defaultRowHeight="15" x14ac:dyDescent="0.25"/>
  <cols>
    <col min="1" max="1" width="14.5703125" style="1" customWidth="1"/>
    <col min="2" max="2" width="10.28515625" style="1" customWidth="1"/>
    <col min="3" max="3" width="12.140625" style="1" customWidth="1"/>
    <col min="4" max="4" width="18" style="1" customWidth="1"/>
    <col min="5" max="5" width="9.140625" style="1"/>
  </cols>
  <sheetData>
    <row r="1" spans="1:5" x14ac:dyDescent="0.25">
      <c r="A1" s="1" t="s">
        <v>50</v>
      </c>
      <c r="B1" s="1" t="s">
        <v>51</v>
      </c>
      <c r="C1" s="1" t="s">
        <v>44</v>
      </c>
      <c r="D1" s="1" t="s">
        <v>52</v>
      </c>
      <c r="E1" s="1" t="s">
        <v>42</v>
      </c>
    </row>
    <row r="2" spans="1:5" x14ac:dyDescent="0.25">
      <c r="A2" s="1">
        <v>1</v>
      </c>
      <c r="B2" s="1" t="str">
        <f>"3660,00"</f>
        <v>3660,00</v>
      </c>
      <c r="C2" s="2">
        <v>46275</v>
      </c>
      <c r="D2" s="1" t="s">
        <v>53</v>
      </c>
      <c r="E2" s="1">
        <v>1</v>
      </c>
    </row>
    <row r="3" spans="1:5" x14ac:dyDescent="0.25">
      <c r="A3" s="1">
        <v>2</v>
      </c>
      <c r="B3" s="1" t="str">
        <f>"250,00"</f>
        <v>250,00</v>
      </c>
      <c r="C3" s="2">
        <v>46276</v>
      </c>
      <c r="D3" s="1" t="s">
        <v>54</v>
      </c>
      <c r="E3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Loja</vt:lpstr>
      <vt:lpstr>Produto</vt:lpstr>
      <vt:lpstr>Funcionario</vt:lpstr>
      <vt:lpstr>Vendedor</vt:lpstr>
      <vt:lpstr>Gerente</vt:lpstr>
      <vt:lpstr>Cliente</vt:lpstr>
      <vt:lpstr>Pedido</vt:lpstr>
      <vt:lpstr>ItemPedido</vt:lpstr>
      <vt:lpstr>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STÉFANY SILVA SANTANA</dc:creator>
  <cp:lastModifiedBy>CFP 509  Escola SENAI - Campinas</cp:lastModifiedBy>
  <dcterms:created xsi:type="dcterms:W3CDTF">2026-09-15T13:03:18Z</dcterms:created>
  <dcterms:modified xsi:type="dcterms:W3CDTF">2026-09-15T13:30:34Z</dcterms:modified>
</cp:coreProperties>
</file>